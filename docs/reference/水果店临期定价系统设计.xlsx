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系统架构" sheetId="1" state="visible" r:id="rId3"/>
    <sheet name="数据库表" sheetId="2" state="visible" r:id="rId4"/>
    <sheet name="临期判定" sheetId="3" state="visible" r:id="rId5"/>
    <sheet name="定价引擎" sheetId="4" state="visible" r:id="rId6"/>
    <sheet name="推送" sheetId="5" state="visible" r:id="rId7"/>
    <sheet name="仿真与评测" sheetId="6" state="visible" r:id="rId8"/>
    <sheet name="开发顺序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<sst xmlns="http://schemas.openxmlformats.org/spreadsheetml/2006/main" count="173" uniqueCount="150">
  <si>
    <t xml:space="preserve">系统架构</t>
  </si>
  <si>
    <t xml:space="preserve">层级</t>
  </si>
  <si>
    <t xml:space="preserve">组件</t>
  </si>
  <si>
    <r>
      <rPr>
        <b val="true"/>
        <sz val="11"/>
        <color rgb="FFFFFFFF"/>
        <rFont val="Noto Sans CJK SC"/>
        <family val="2"/>
      </rPr>
      <t xml:space="preserve">技术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职责</t>
    </r>
  </si>
  <si>
    <t xml:space="preserve">说明</t>
  </si>
  <si>
    <t xml:space="preserve">客户端</t>
  </si>
  <si>
    <t xml:space="preserve">店主管理后台</t>
  </si>
  <si>
    <r>
      <rPr>
        <sz val="11"/>
        <rFont val="Arial"/>
        <family val="0"/>
        <charset val="1"/>
      </rPr>
      <t xml:space="preserve">Vue3 </t>
    </r>
    <r>
      <rPr>
        <sz val="11"/>
        <rFont val="Noto Sans CJK SC"/>
        <family val="2"/>
      </rPr>
      <t xml:space="preserve">网页</t>
    </r>
  </si>
  <si>
    <t xml:space="preserve">入库、临期看板、定价确认、推送管理</t>
  </si>
  <si>
    <t xml:space="preserve">顾客端</t>
  </si>
  <si>
    <r>
      <rPr>
        <sz val="11"/>
        <rFont val="Arial"/>
        <family val="0"/>
        <charset val="1"/>
      </rPr>
      <t xml:space="preserve">H5 </t>
    </r>
    <r>
      <rPr>
        <sz val="11"/>
        <rFont val="Noto Sans CJK SC"/>
        <family val="2"/>
      </rPr>
      <t xml:space="preserve">特价页与消息</t>
    </r>
  </si>
  <si>
    <t xml:space="preserve">查看特价品、接收站内消息</t>
  </si>
  <si>
    <r>
      <rPr>
        <b val="true"/>
        <sz val="11"/>
        <rFont val="Arial"/>
        <family val="0"/>
        <charset val="1"/>
      </rPr>
      <t xml:space="preserve">Spring Boot </t>
    </r>
    <r>
      <rPr>
        <b val="true"/>
        <sz val="11"/>
        <rFont val="Noto Sans CJK SC"/>
        <family val="2"/>
      </rPr>
      <t xml:space="preserve">后端</t>
    </r>
  </si>
  <si>
    <t xml:space="preserve">批次库存</t>
  </si>
  <si>
    <t xml:space="preserve">入库与销售扣减</t>
  </si>
  <si>
    <t xml:space="preserve">按批次记录库存，销售时先进先出扣减</t>
  </si>
  <si>
    <t xml:space="preserve">临期扫描</t>
  </si>
  <si>
    <t xml:space="preserve">每小时定时任务</t>
  </si>
  <si>
    <t xml:space="preserve">扫描批次，判定是否有卖不完的风险</t>
  </si>
  <si>
    <t xml:space="preserve">定价确认</t>
  </si>
  <si>
    <t xml:space="preserve">店主接受或修改</t>
  </si>
  <si>
    <t xml:space="preserve">展示定价建议和理由，记录店主处理结果</t>
  </si>
  <si>
    <t xml:space="preserve">推送任务</t>
  </si>
  <si>
    <t xml:space="preserve">选时段选人群</t>
  </si>
  <si>
    <t xml:space="preserve">按客流高峰和会员偏好安排推送</t>
  </si>
  <si>
    <t xml:space="preserve">底层服务</t>
  </si>
  <si>
    <t xml:space="preserve">MySQL</t>
  </si>
  <si>
    <t xml:space="preserve">批次、流水、建议</t>
  </si>
  <si>
    <t xml:space="preserve">业务数据存储</t>
  </si>
  <si>
    <t xml:space="preserve">定价引擎</t>
  </si>
  <si>
    <r>
      <rPr>
        <sz val="11"/>
        <rFont val="Arial"/>
        <family val="0"/>
        <charset val="1"/>
      </rPr>
      <t xml:space="preserve">Python </t>
    </r>
    <r>
      <rPr>
        <sz val="11"/>
        <rFont val="Noto Sans CJK SC"/>
        <family val="2"/>
      </rPr>
      <t xml:space="preserve">需求估计与优化</t>
    </r>
  </si>
  <si>
    <t xml:space="preserve">独立服务，供后端调用</t>
  </si>
  <si>
    <t xml:space="preserve">本地大模型</t>
  </si>
  <si>
    <t xml:space="preserve">生成推送文案</t>
  </si>
  <si>
    <t xml:space="preserve">主流程：批次库存 → 临期扫描 → 定价确认 → 推送任务 → 销售数据回流</t>
  </si>
  <si>
    <t xml:space="preserve">数据库表（核心：按批次管库存）</t>
  </si>
  <si>
    <t xml:space="preserve">表</t>
  </si>
  <si>
    <t xml:space="preserve">关键字段</t>
  </si>
  <si>
    <t xml:space="preserve">作用</t>
  </si>
  <si>
    <t xml:space="preserve">product</t>
  </si>
  <si>
    <t xml:space="preserve">品类、单位、标准保质期、原价</t>
  </si>
  <si>
    <t xml:space="preserve">商品档案</t>
  </si>
  <si>
    <t xml:space="preserve">batch</t>
  </si>
  <si>
    <t xml:space="preserve">商品、到货日、进货量、剩余量、进价、到期日</t>
  </si>
  <si>
    <t xml:space="preserve">临期判定的对象</t>
  </si>
  <si>
    <t xml:space="preserve">sale_record</t>
  </si>
  <si>
    <t xml:space="preserve">批次、时间、数量、成交价、是否折扣、会员</t>
  </si>
  <si>
    <t xml:space="preserve">销售流水，也是模型的训练数据</t>
  </si>
  <si>
    <t xml:space="preserve">price_suggestion</t>
  </si>
  <si>
    <t xml:space="preserve">批次、建议价、策略类型、预计销量、理由、店主处理结果、最终价</t>
  </si>
  <si>
    <t xml:space="preserve">定价建议和确认记录</t>
  </si>
  <si>
    <t xml:space="preserve">member</t>
  </si>
  <si>
    <t xml:space="preserve">昵称、联系方式、是否同意接收推送</t>
  </si>
  <si>
    <t xml:space="preserve">推送对象</t>
  </si>
  <si>
    <t xml:space="preserve">push_task</t>
  </si>
  <si>
    <t xml:space="preserve">关联建议、计划时间、人群规则、文案、状态</t>
  </si>
  <si>
    <t xml:space="preserve">推送计划</t>
  </si>
  <si>
    <t xml:space="preserve">push_log</t>
  </si>
  <si>
    <t xml:space="preserve">任务、会员、发送时间、是否打开、是否成交</t>
  </si>
  <si>
    <t xml:space="preserve">推送效果</t>
  </si>
  <si>
    <t xml:space="preserve">traffic_profile</t>
  </si>
  <si>
    <t xml:space="preserve">星期、小时、平均成交笔数</t>
  </si>
  <si>
    <t xml:space="preserve">客流规律，每晚重算</t>
  </si>
  <si>
    <t xml:space="preserve">销售时按先进先出扣减批次库存；临期批次单独作为“特价品”售卖，避免同一种水果两个价格混乱。</t>
  </si>
  <si>
    <t xml:space="preserve">临期判定指标</t>
  </si>
  <si>
    <t xml:space="preserve">指标</t>
  </si>
  <si>
    <t xml:space="preserve">计算方式</t>
  </si>
  <si>
    <t xml:space="preserve">新鲜度</t>
  </si>
  <si>
    <r>
      <rPr>
        <sz val="11"/>
        <rFont val="Noto Sans CJK SC"/>
        <family val="2"/>
      </rPr>
      <t xml:space="preserve">剩余天数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标准保质期</t>
    </r>
  </si>
  <si>
    <t xml:space="preserve">越低越接近到期</t>
  </si>
  <si>
    <t xml:space="preserve">预计可售天数</t>
  </si>
  <si>
    <r>
      <rPr>
        <sz val="11"/>
        <rFont val="Noto Sans CJK SC"/>
        <family val="2"/>
      </rPr>
      <t xml:space="preserve">剩余库存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近几天的日均销量</t>
    </r>
  </si>
  <si>
    <t xml:space="preserve">按现价卖完库存需要的天数</t>
  </si>
  <si>
    <t xml:space="preserve">有风险</t>
  </si>
  <si>
    <r>
      <rPr>
        <sz val="11"/>
        <rFont val="Noto Sans CJK SC"/>
        <family val="2"/>
      </rPr>
      <t xml:space="preserve">预计可售天数 </t>
    </r>
    <r>
      <rPr>
        <sz val="11"/>
        <rFont val="Arial"/>
        <family val="0"/>
        <charset val="1"/>
      </rPr>
      <t xml:space="preserve">&gt; </t>
    </r>
    <r>
      <rPr>
        <sz val="11"/>
        <rFont val="Noto Sans CJK SC"/>
        <family val="2"/>
      </rPr>
      <t xml:space="preserve">剩余天数</t>
    </r>
  </si>
  <si>
    <t xml:space="preserve">按现价卖不完，触发定价建议</t>
  </si>
  <si>
    <t xml:space="preserve">示例计算（香蕉）</t>
  </si>
  <si>
    <t xml:space="preserve">蓝色数字为输入，可直接修改；黑色为公式，自动计算。</t>
  </si>
  <si>
    <t xml:space="preserve">项目</t>
  </si>
  <si>
    <t xml:space="preserve">数值</t>
  </si>
  <si>
    <t xml:space="preserve">单位</t>
  </si>
  <si>
    <t xml:space="preserve">备注</t>
  </si>
  <si>
    <t xml:space="preserve">剩余天数</t>
  </si>
  <si>
    <t xml:space="preserve">天</t>
  </si>
  <si>
    <t xml:space="preserve">输入（来自示例）</t>
  </si>
  <si>
    <t xml:space="preserve">剩余库存</t>
  </si>
  <si>
    <t xml:space="preserve">斤</t>
  </si>
  <si>
    <t xml:space="preserve">日均销量</t>
  </si>
  <si>
    <r>
      <rPr>
        <sz val="11"/>
        <rFont val="Noto Sans CJK SC"/>
        <family val="2"/>
      </rPr>
      <t xml:space="preserve">斤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天</t>
    </r>
  </si>
  <si>
    <t xml:space="preserve">标准保质期</t>
  </si>
  <si>
    <t xml:space="preserve">输入；假设的示例值，原回答未给出，请按实际品类修改</t>
  </si>
  <si>
    <r>
      <rPr>
        <sz val="11"/>
        <rFont val="Noto Sans CJK SC"/>
        <family val="2"/>
      </rPr>
      <t xml:space="preserve">公式：剩余天数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标准保质期</t>
    </r>
  </si>
  <si>
    <r>
      <rPr>
        <sz val="11"/>
        <rFont val="Noto Sans CJK SC"/>
        <family val="2"/>
      </rPr>
      <t xml:space="preserve">公式：剩余库存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日均销量</t>
    </r>
  </si>
  <si>
    <t xml:space="preserve">到期前预计销量</t>
  </si>
  <si>
    <t xml:space="preserve">公式：不超过剩余库存</t>
  </si>
  <si>
    <t xml:space="preserve">预计报废量</t>
  </si>
  <si>
    <t xml:space="preserve">公式：剩余库存 − 到期前预计销量</t>
  </si>
  <si>
    <t xml:space="preserve">是否有风险</t>
  </si>
  <si>
    <r>
      <rPr>
        <sz val="11"/>
        <rFont val="Noto Sans CJK SC"/>
        <family val="2"/>
      </rPr>
      <t xml:space="preserve">公式：预计可售天数 </t>
    </r>
    <r>
      <rPr>
        <sz val="11"/>
        <rFont val="Arial"/>
        <family val="0"/>
        <charset val="1"/>
      </rPr>
      <t xml:space="preserve">&gt; </t>
    </r>
    <r>
      <rPr>
        <sz val="11"/>
        <rFont val="Noto Sans CJK SC"/>
        <family val="2"/>
      </rPr>
      <t xml:space="preserve">剩余天数</t>
    </r>
  </si>
  <si>
    <t xml:space="preserve">定价引擎（模型版）</t>
  </si>
  <si>
    <t xml:space="preserve">步骤</t>
  </si>
  <si>
    <t xml:space="preserve">名称</t>
  </si>
  <si>
    <t xml:space="preserve">内容</t>
  </si>
  <si>
    <t xml:space="preserve">估计需求</t>
  </si>
  <si>
    <t xml:space="preserve">用历史流水回归出“折扣每加深一成，销量增加多少”，同时加入小时和星期的影响，按品类分别拟合。</t>
  </si>
  <si>
    <t xml:space="preserve">枚举候选折扣</t>
  </si>
  <si>
    <r>
      <rPr>
        <sz val="11"/>
        <rFont val="Noto Sans CJK SC"/>
        <family val="2"/>
      </rPr>
      <t xml:space="preserve">原价、</t>
    </r>
    <r>
      <rPr>
        <sz val="11"/>
        <rFont val="Arial"/>
        <family val="0"/>
        <charset val="1"/>
      </rPr>
      <t xml:space="preserve">9 </t>
    </r>
    <r>
      <rPr>
        <sz val="11"/>
        <rFont val="Noto Sans CJK SC"/>
        <family val="2"/>
      </rPr>
      <t xml:space="preserve">折、</t>
    </r>
    <r>
      <rPr>
        <sz val="11"/>
        <rFont val="Arial"/>
        <family val="0"/>
        <charset val="1"/>
      </rPr>
      <t xml:space="preserve">8 </t>
    </r>
    <r>
      <rPr>
        <sz val="11"/>
        <rFont val="Noto Sans CJK SC"/>
        <family val="2"/>
      </rPr>
      <t xml:space="preserve">折，一直到 </t>
    </r>
    <r>
      <rPr>
        <sz val="11"/>
        <rFont val="Arial"/>
        <family val="0"/>
        <charset val="1"/>
      </rPr>
      <t xml:space="preserve">5 </t>
    </r>
    <r>
      <rPr>
        <sz val="11"/>
        <rFont val="Noto Sans CJK SC"/>
        <family val="2"/>
      </rPr>
      <t xml:space="preserve">折，分别预测到期前能卖多少斤，上限是剩余库存。</t>
    </r>
  </si>
  <si>
    <t xml:space="preserve">选收入最高的</t>
  </si>
  <si>
    <t xml:space="preserve">进货成本已经花出去，目标是让剩余库存的总收入最大，而不是每斤都赚钱。</t>
  </si>
  <si>
    <t xml:space="preserve">加约束</t>
  </si>
  <si>
    <t xml:space="preserve">店主设最低折扣线，每天最多调价两次，避免价格乱跳。</t>
  </si>
  <si>
    <t xml:space="preserve">输出理由</t>
  </si>
  <si>
    <r>
      <rPr>
        <sz val="11"/>
        <rFont val="Noto Sans CJK SC"/>
        <family val="2"/>
      </rPr>
      <t xml:space="preserve">例如“按现价预计卖 </t>
    </r>
    <r>
      <rPr>
        <sz val="11"/>
        <rFont val="Arial"/>
        <family val="0"/>
        <charset val="1"/>
      </rPr>
      <t xml:space="preserve">18 </t>
    </r>
    <r>
      <rPr>
        <sz val="11"/>
        <rFont val="Noto Sans CJK SC"/>
        <family val="2"/>
      </rPr>
      <t xml:space="preserve">斤，</t>
    </r>
    <r>
      <rPr>
        <sz val="11"/>
        <rFont val="Arial"/>
        <family val="0"/>
        <charset val="1"/>
      </rPr>
      <t xml:space="preserve">8 </t>
    </r>
    <r>
      <rPr>
        <sz val="11"/>
        <rFont val="Noto Sans CJK SC"/>
        <family val="2"/>
      </rPr>
      <t xml:space="preserve">折预计卖 </t>
    </r>
    <r>
      <rPr>
        <sz val="11"/>
        <rFont val="Arial"/>
        <family val="0"/>
        <charset val="1"/>
      </rPr>
      <t xml:space="preserve">27 </t>
    </r>
    <r>
      <rPr>
        <sz val="11"/>
        <rFont val="Noto Sans CJK SC"/>
        <family val="2"/>
      </rPr>
      <t xml:space="preserve">斤，收入更高”。店主可以接受、修改或拒绝，处理结果都记录下来。</t>
    </r>
  </si>
  <si>
    <t xml:space="preserve">对照组：规则版（按新鲜度和库存压力分档打折）保留，用于和模型版比较。</t>
  </si>
  <si>
    <t xml:space="preserve">推送设计</t>
  </si>
  <si>
    <t xml:space="preserve">要素</t>
  </si>
  <si>
    <t xml:space="preserve">设计</t>
  </si>
  <si>
    <t xml:space="preserve">时机</t>
  </si>
  <si>
    <r>
      <rPr>
        <sz val="11"/>
        <rFont val="Noto Sans CJK SC"/>
        <family val="2"/>
      </rPr>
      <t xml:space="preserve">从 </t>
    </r>
    <r>
      <rPr>
        <sz val="11"/>
        <rFont val="Arial"/>
        <family val="0"/>
        <charset val="1"/>
      </rPr>
      <t xml:space="preserve">traffic_profile </t>
    </r>
    <r>
      <rPr>
        <sz val="11"/>
        <rFont val="Noto Sans CJK SC"/>
        <family val="2"/>
      </rPr>
      <t xml:space="preserve">找到下一个高峰，提前 </t>
    </r>
    <r>
      <rPr>
        <sz val="11"/>
        <rFont val="Arial"/>
        <family val="0"/>
        <charset val="1"/>
      </rPr>
      <t xml:space="preserve">30 </t>
    </r>
    <r>
      <rPr>
        <sz val="11"/>
        <rFont val="Noto Sans CJK SC"/>
        <family val="2"/>
      </rPr>
      <t xml:space="preserve">到 </t>
    </r>
    <r>
      <rPr>
        <sz val="11"/>
        <rFont val="Arial"/>
        <family val="0"/>
        <charset val="1"/>
      </rPr>
      <t xml:space="preserve">60 </t>
    </r>
    <r>
      <rPr>
        <sz val="11"/>
        <rFont val="Noto Sans CJK SC"/>
        <family val="2"/>
      </rPr>
      <t xml:space="preserve">分钟推送；已经到最后一天的批次立即推。</t>
    </r>
  </si>
  <si>
    <t xml:space="preserve">人群</t>
  </si>
  <si>
    <t xml:space="preserve">近期买过该品类且同意接收的会员，每人每天最多一条。</t>
  </si>
  <si>
    <t xml:space="preserve">文案</t>
  </si>
  <si>
    <t xml:space="preserve">后端把品类、折扣、截止时间传给本地模型，生成一段短文案，店主确认后发出。</t>
  </si>
  <si>
    <t xml:space="preserve">效果</t>
  </si>
  <si>
    <t xml:space="preserve">记录打开率，以及推送后几小时内是否买了该特价品。</t>
  </si>
  <si>
    <t xml:space="preserve">仿真与评测</t>
  </si>
  <si>
    <t xml:space="preserve">仿真器</t>
  </si>
  <si>
    <r>
      <rPr>
        <sz val="11"/>
        <rFont val="Noto Sans CJK SC"/>
        <family val="2"/>
      </rPr>
      <t xml:space="preserve">每小时按该时段的平均客流随机生成到店人数，每位顾客的购买概率随价格和新鲜度变化，连续跑 </t>
    </r>
    <r>
      <rPr>
        <sz val="11"/>
        <rFont val="Arial"/>
        <family val="0"/>
        <charset val="1"/>
      </rPr>
      <t xml:space="preserve">30 </t>
    </r>
    <r>
      <rPr>
        <sz val="11"/>
        <rFont val="Noto Sans CJK SC"/>
        <family val="2"/>
      </rPr>
      <t xml:space="preserve">天。</t>
    </r>
  </si>
  <si>
    <t xml:space="preserve">对比策略</t>
  </si>
  <si>
    <t xml:space="preserve">固定价格、规则版、模型版，使用同一组随机种子。</t>
  </si>
  <si>
    <t xml:space="preserve">评价指标</t>
  </si>
  <si>
    <t xml:space="preserve">损耗率、售罄率、毛利。</t>
  </si>
  <si>
    <t xml:space="preserve">要避免的坑</t>
  </si>
  <si>
    <t xml:space="preserve">如果仿真器的需求公式和定价模型用的是同一个，模型版必然赢，结论没有意义。</t>
  </si>
  <si>
    <t xml:space="preserve">应对办法</t>
  </si>
  <si>
    <t xml:space="preserve">仿真器的参数从公开数据拟合，并加入噪声或换一种函数形式；也可以留出一段真实流水做回测。</t>
  </si>
  <si>
    <t xml:space="preserve">开发顺序</t>
  </si>
  <si>
    <r>
      <rPr>
        <i val="true"/>
        <sz val="10"/>
        <color rgb="FF595959"/>
        <rFont val="Noto Sans CJK SC"/>
        <family val="2"/>
      </rPr>
      <t xml:space="preserve">“状态”列可填写：未开始 </t>
    </r>
    <r>
      <rPr>
        <i val="true"/>
        <sz val="10"/>
        <color rgb="FF595959"/>
        <rFont val="Arial"/>
        <family val="0"/>
        <charset val="1"/>
      </rPr>
      <t xml:space="preserve">/ </t>
    </r>
    <r>
      <rPr>
        <i val="true"/>
        <sz val="10"/>
        <color rgb="FF595959"/>
        <rFont val="Noto Sans CJK SC"/>
        <family val="2"/>
      </rPr>
      <t xml:space="preserve">进行中 </t>
    </r>
    <r>
      <rPr>
        <i val="true"/>
        <sz val="10"/>
        <color rgb="FF595959"/>
        <rFont val="Arial"/>
        <family val="0"/>
        <charset val="1"/>
      </rPr>
      <t xml:space="preserve">/ </t>
    </r>
    <r>
      <rPr>
        <i val="true"/>
        <sz val="10"/>
        <color rgb="FF595959"/>
        <rFont val="Noto Sans CJK SC"/>
        <family val="2"/>
      </rPr>
      <t xml:space="preserve">已完成（下拉选择）。</t>
    </r>
  </si>
  <si>
    <t xml:space="preserve">阶段</t>
  </si>
  <si>
    <t xml:space="preserve">优先级</t>
  </si>
  <si>
    <t xml:space="preserve">状态</t>
  </si>
  <si>
    <t xml:space="preserve">入库、批次库存、销售录入</t>
  </si>
  <si>
    <t xml:space="preserve">必做</t>
  </si>
  <si>
    <t xml:space="preserve">未开始</t>
  </si>
  <si>
    <t xml:space="preserve">临期看板、规则定价、店主确认流程</t>
  </si>
  <si>
    <t xml:space="preserve">仿真器、模型定价、策略对比</t>
  </si>
  <si>
    <t xml:space="preserve">加分项</t>
  </si>
  <si>
    <t xml:space="preserve">推送和效果复盘</t>
  </si>
  <si>
    <t xml:space="preserve">加分项（时间不够可砍）</t>
  </si>
  <si>
    <t xml:space="preserve">前两个阶段做完就是一个可演示的系统。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</si>
</sst>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"/>
    <numFmt numFmtId="167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95959"/>
      <name val="Noto Sans CJK SC"/>
      <family val="2"/>
    </font>
    <font>
      <sz val="11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color rgb="FF0000FF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2F5D50"/>
        <bgColor rgb="FF595959"/>
      </patternFill>
    </fill>
    <fill>
      <patternFill patternType="solid">
        <fgColor rgb="FFF2F6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44"/>
  </cols>
  <sheetData>
    <row r="1" customFormat="false" ht="21.75" hidden="false" customHeight="tru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17.15" hidden="false" customHeight="false" outlineLevel="0" collapsed="false">
      <c r="A4" s="3" t="s">
        <v>5</v>
      </c>
      <c r="B4" s="4" t="s">
        <v>6</v>
      </c>
      <c r="C4" s="5" t="s">
        <v>7</v>
      </c>
      <c r="D4" s="4" t="s">
        <v>8</v>
      </c>
    </row>
    <row r="5" customFormat="false" ht="17.15" hidden="false" customHeight="false" outlineLevel="0" collapsed="false">
      <c r="A5" s="6" t="s">
        <v>5</v>
      </c>
      <c r="B5" s="7" t="s">
        <v>9</v>
      </c>
      <c r="C5" s="8" t="s">
        <v>10</v>
      </c>
      <c r="D5" s="7" t="s">
        <v>11</v>
      </c>
    </row>
    <row r="6" customFormat="false" ht="17.15" hidden="false" customHeight="false" outlineLevel="0" collapsed="false">
      <c r="A6" s="9" t="s">
        <v>12</v>
      </c>
      <c r="B6" s="4" t="s">
        <v>13</v>
      </c>
      <c r="C6" s="4" t="s">
        <v>14</v>
      </c>
      <c r="D6" s="4" t="s">
        <v>15</v>
      </c>
    </row>
    <row r="7" customFormat="false" ht="17.15" hidden="false" customHeight="false" outlineLevel="0" collapsed="false">
      <c r="A7" s="10" t="s">
        <v>12</v>
      </c>
      <c r="B7" s="7" t="s">
        <v>16</v>
      </c>
      <c r="C7" s="7" t="s">
        <v>17</v>
      </c>
      <c r="D7" s="7" t="s">
        <v>18</v>
      </c>
    </row>
    <row r="8" customFormat="false" ht="17.15" hidden="false" customHeight="false" outlineLevel="0" collapsed="false">
      <c r="A8" s="9" t="s">
        <v>12</v>
      </c>
      <c r="B8" s="4" t="s">
        <v>19</v>
      </c>
      <c r="C8" s="4" t="s">
        <v>20</v>
      </c>
      <c r="D8" s="4" t="s">
        <v>21</v>
      </c>
    </row>
    <row r="9" customFormat="false" ht="17.15" hidden="false" customHeight="false" outlineLevel="0" collapsed="false">
      <c r="A9" s="10" t="s">
        <v>12</v>
      </c>
      <c r="B9" s="7" t="s">
        <v>22</v>
      </c>
      <c r="C9" s="7" t="s">
        <v>23</v>
      </c>
      <c r="D9" s="7" t="s">
        <v>24</v>
      </c>
    </row>
    <row r="10" customFormat="false" ht="17.15" hidden="false" customHeight="false" outlineLevel="0" collapsed="false">
      <c r="A10" s="3" t="s">
        <v>25</v>
      </c>
      <c r="B10" s="5" t="s">
        <v>26</v>
      </c>
      <c r="C10" s="4" t="s">
        <v>27</v>
      </c>
      <c r="D10" s="4" t="s">
        <v>28</v>
      </c>
    </row>
    <row r="11" customFormat="false" ht="17.15" hidden="false" customHeight="false" outlineLevel="0" collapsed="false">
      <c r="A11" s="6" t="s">
        <v>25</v>
      </c>
      <c r="B11" s="7" t="s">
        <v>29</v>
      </c>
      <c r="C11" s="8" t="s">
        <v>30</v>
      </c>
      <c r="D11" s="7" t="s">
        <v>31</v>
      </c>
    </row>
    <row r="12" customFormat="false" ht="17.15" hidden="false" customHeight="false" outlineLevel="0" collapsed="false">
      <c r="A12" s="3" t="s">
        <v>25</v>
      </c>
      <c r="B12" s="4" t="s">
        <v>32</v>
      </c>
      <c r="C12" s="4" t="s">
        <v>33</v>
      </c>
      <c r="D12" s="4" t="s">
        <v>31</v>
      </c>
    </row>
    <row r="14" customFormat="false" ht="15" hidden="false" customHeight="false" outlineLevel="0" collapsed="false">
      <c r="A14" s="1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2"/>
    <col collapsed="false" customWidth="true" hidden="false" outlineLevel="0" max="3" min="3" style="0" width="36"/>
  </cols>
  <sheetData>
    <row r="1" customFormat="false" ht="21.75" hidden="false" customHeight="true" outlineLevel="0" collapsed="false">
      <c r="A1" s="1" t="s">
        <v>35</v>
      </c>
    </row>
    <row r="3" customFormat="false" ht="17.15" hidden="false" customHeight="false" outlineLevel="0" collapsed="false">
      <c r="A3" s="2" t="s">
        <v>36</v>
      </c>
      <c r="B3" s="2" t="s">
        <v>37</v>
      </c>
      <c r="C3" s="2" t="s">
        <v>38</v>
      </c>
    </row>
    <row r="4" customFormat="false" ht="17.15" hidden="false" customHeight="false" outlineLevel="0" collapsed="false">
      <c r="A4" s="9" t="s">
        <v>39</v>
      </c>
      <c r="B4" s="4" t="s">
        <v>40</v>
      </c>
      <c r="C4" s="4" t="s">
        <v>41</v>
      </c>
    </row>
    <row r="5" customFormat="false" ht="17.15" hidden="false" customHeight="false" outlineLevel="0" collapsed="false">
      <c r="A5" s="10" t="s">
        <v>42</v>
      </c>
      <c r="B5" s="7" t="s">
        <v>43</v>
      </c>
      <c r="C5" s="7" t="s">
        <v>44</v>
      </c>
    </row>
    <row r="6" customFormat="false" ht="17.15" hidden="false" customHeight="false" outlineLevel="0" collapsed="false">
      <c r="A6" s="9" t="s">
        <v>45</v>
      </c>
      <c r="B6" s="4" t="s">
        <v>46</v>
      </c>
      <c r="C6" s="4" t="s">
        <v>47</v>
      </c>
    </row>
    <row r="7" customFormat="false" ht="32.8" hidden="false" customHeight="false" outlineLevel="0" collapsed="false">
      <c r="A7" s="10" t="s">
        <v>48</v>
      </c>
      <c r="B7" s="7" t="s">
        <v>49</v>
      </c>
      <c r="C7" s="7" t="s">
        <v>50</v>
      </c>
    </row>
    <row r="8" customFormat="false" ht="17.15" hidden="false" customHeight="false" outlineLevel="0" collapsed="false">
      <c r="A8" s="9" t="s">
        <v>51</v>
      </c>
      <c r="B8" s="4" t="s">
        <v>52</v>
      </c>
      <c r="C8" s="4" t="s">
        <v>53</v>
      </c>
    </row>
    <row r="9" customFormat="false" ht="17.15" hidden="false" customHeight="false" outlineLevel="0" collapsed="false">
      <c r="A9" s="10" t="s">
        <v>54</v>
      </c>
      <c r="B9" s="7" t="s">
        <v>55</v>
      </c>
      <c r="C9" s="7" t="s">
        <v>56</v>
      </c>
    </row>
    <row r="10" customFormat="false" ht="17.15" hidden="false" customHeight="false" outlineLevel="0" collapsed="false">
      <c r="A10" s="9" t="s">
        <v>57</v>
      </c>
      <c r="B10" s="4" t="s">
        <v>58</v>
      </c>
      <c r="C10" s="4" t="s">
        <v>59</v>
      </c>
    </row>
    <row r="11" customFormat="false" ht="17.15" hidden="false" customHeight="false" outlineLevel="0" collapsed="false">
      <c r="A11" s="10" t="s">
        <v>60</v>
      </c>
      <c r="B11" s="7" t="s">
        <v>61</v>
      </c>
      <c r="C11" s="7" t="s">
        <v>62</v>
      </c>
    </row>
    <row r="13" customFormat="false" ht="15" hidden="false" customHeight="false" outlineLevel="0" collapsed="false">
      <c r="A13" s="11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44"/>
  </cols>
  <sheetData>
    <row r="1" customFormat="false" ht="21.75" hidden="false" customHeight="true" outlineLevel="0" collapsed="false">
      <c r="A1" s="1" t="s">
        <v>64</v>
      </c>
    </row>
    <row r="3" customFormat="false" ht="17.15" hidden="false" customHeight="false" outlineLevel="0" collapsed="false">
      <c r="A3" s="2" t="s">
        <v>65</v>
      </c>
      <c r="B3" s="2" t="s">
        <v>66</v>
      </c>
      <c r="C3" s="2" t="s">
        <v>4</v>
      </c>
    </row>
    <row r="4" customFormat="false" ht="32.8" hidden="false" customHeight="false" outlineLevel="0" collapsed="false">
      <c r="A4" s="3" t="s">
        <v>67</v>
      </c>
      <c r="B4" s="4" t="s">
        <v>68</v>
      </c>
      <c r="C4" s="4" t="s">
        <v>69</v>
      </c>
    </row>
    <row r="5" customFormat="false" ht="32.8" hidden="false" customHeight="false" outlineLevel="0" collapsed="false">
      <c r="A5" s="6" t="s">
        <v>70</v>
      </c>
      <c r="B5" s="7" t="s">
        <v>71</v>
      </c>
      <c r="C5" s="7" t="s">
        <v>72</v>
      </c>
    </row>
    <row r="6" customFormat="false" ht="48.5" hidden="false" customHeight="false" outlineLevel="0" collapsed="false">
      <c r="A6" s="3" t="s">
        <v>73</v>
      </c>
      <c r="B6" s="4" t="s">
        <v>74</v>
      </c>
      <c r="C6" s="4" t="s">
        <v>75</v>
      </c>
    </row>
    <row r="8" customFormat="false" ht="16.15" hidden="false" customHeight="false" outlineLevel="0" collapsed="false">
      <c r="A8" s="1" t="s">
        <v>76</v>
      </c>
    </row>
    <row r="9" customFormat="false" ht="15" hidden="false" customHeight="false" outlineLevel="0" collapsed="false">
      <c r="A9" s="11" t="s">
        <v>77</v>
      </c>
    </row>
    <row r="10" customFormat="false" ht="17.15" hidden="false" customHeight="false" outlineLevel="0" collapsed="false">
      <c r="A10" s="2" t="s">
        <v>78</v>
      </c>
      <c r="B10" s="2" t="s">
        <v>79</v>
      </c>
      <c r="C10" s="2" t="s">
        <v>80</v>
      </c>
      <c r="D10" s="2" t="s">
        <v>81</v>
      </c>
    </row>
    <row r="11" customFormat="false" ht="17.15" hidden="false" customHeight="false" outlineLevel="0" collapsed="false">
      <c r="A11" s="3" t="s">
        <v>82</v>
      </c>
      <c r="B11" s="12" t="n">
        <v>2</v>
      </c>
      <c r="C11" s="4" t="s">
        <v>83</v>
      </c>
      <c r="D11" s="4" t="s">
        <v>84</v>
      </c>
    </row>
    <row r="12" customFormat="false" ht="17.15" hidden="false" customHeight="false" outlineLevel="0" collapsed="false">
      <c r="A12" s="3" t="s">
        <v>85</v>
      </c>
      <c r="B12" s="12" t="n">
        <v>30</v>
      </c>
      <c r="C12" s="4" t="s">
        <v>86</v>
      </c>
      <c r="D12" s="4" t="s">
        <v>84</v>
      </c>
    </row>
    <row r="13" customFormat="false" ht="17.15" hidden="false" customHeight="false" outlineLevel="0" collapsed="false">
      <c r="A13" s="3" t="s">
        <v>87</v>
      </c>
      <c r="B13" s="12" t="n">
        <v>9</v>
      </c>
      <c r="C13" s="4" t="s">
        <v>88</v>
      </c>
      <c r="D13" s="4" t="s">
        <v>84</v>
      </c>
    </row>
    <row r="14" customFormat="false" ht="32.8" hidden="false" customHeight="false" outlineLevel="0" collapsed="false">
      <c r="A14" s="3" t="s">
        <v>89</v>
      </c>
      <c r="B14" s="12" t="n">
        <v>5</v>
      </c>
      <c r="C14" s="4" t="s">
        <v>83</v>
      </c>
      <c r="D14" s="4" t="s">
        <v>90</v>
      </c>
    </row>
    <row r="15" customFormat="false" ht="17.15" hidden="false" customHeight="false" outlineLevel="0" collapsed="false">
      <c r="A15" s="3" t="s">
        <v>67</v>
      </c>
      <c r="B15" s="13" t="n">
        <f aca="false">B11/B14</f>
        <v>0.4</v>
      </c>
      <c r="C15" s="4"/>
      <c r="D15" s="4" t="s">
        <v>91</v>
      </c>
    </row>
    <row r="16" customFormat="false" ht="17.15" hidden="false" customHeight="false" outlineLevel="0" collapsed="false">
      <c r="A16" s="3" t="s">
        <v>70</v>
      </c>
      <c r="B16" s="14" t="n">
        <f aca="false">B12/B13</f>
        <v>3.33333333333333</v>
      </c>
      <c r="C16" s="4" t="s">
        <v>83</v>
      </c>
      <c r="D16" s="4" t="s">
        <v>92</v>
      </c>
    </row>
    <row r="17" customFormat="false" ht="17.15" hidden="false" customHeight="false" outlineLevel="0" collapsed="false">
      <c r="A17" s="3" t="s">
        <v>93</v>
      </c>
      <c r="B17" s="15" t="n">
        <f aca="false">MIN(B12,B11*B13)</f>
        <v>18</v>
      </c>
      <c r="C17" s="4" t="s">
        <v>86</v>
      </c>
      <c r="D17" s="4" t="s">
        <v>94</v>
      </c>
    </row>
    <row r="18" customFormat="false" ht="17.15" hidden="false" customHeight="false" outlineLevel="0" collapsed="false">
      <c r="A18" s="3" t="s">
        <v>95</v>
      </c>
      <c r="B18" s="15" t="n">
        <f aca="false">B12-B17</f>
        <v>12</v>
      </c>
      <c r="C18" s="4" t="s">
        <v>86</v>
      </c>
      <c r="D18" s="4" t="s">
        <v>96</v>
      </c>
    </row>
    <row r="19" customFormat="false" ht="17.15" hidden="false" customHeight="false" outlineLevel="0" collapsed="false">
      <c r="A19" s="3" t="s">
        <v>97</v>
      </c>
      <c r="B19" s="16" t="str">
        <f aca="false">IF(B16&gt;B11,"有风险","正常")</f>
        <v>有风险</v>
      </c>
      <c r="C19" s="4"/>
      <c r="D19" s="4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80"/>
  </cols>
  <sheetData>
    <row r="1" customFormat="false" ht="21.75" hidden="false" customHeight="true" outlineLevel="0" collapsed="false">
      <c r="A1" s="1" t="s">
        <v>99</v>
      </c>
    </row>
    <row r="3" customFormat="false" ht="17.15" hidden="false" customHeight="false" outlineLevel="0" collapsed="false">
      <c r="A3" s="2" t="s">
        <v>100</v>
      </c>
      <c r="B3" s="2" t="s">
        <v>101</v>
      </c>
      <c r="C3" s="2" t="s">
        <v>102</v>
      </c>
    </row>
    <row r="4" customFormat="false" ht="32.8" hidden="false" customHeight="false" outlineLevel="0" collapsed="false">
      <c r="A4" s="3" t="n">
        <v>1</v>
      </c>
      <c r="B4" s="4" t="s">
        <v>103</v>
      </c>
      <c r="C4" s="4" t="s">
        <v>104</v>
      </c>
    </row>
    <row r="5" customFormat="false" ht="17.15" hidden="false" customHeight="false" outlineLevel="0" collapsed="false">
      <c r="A5" s="6" t="n">
        <v>2</v>
      </c>
      <c r="B5" s="7" t="s">
        <v>105</v>
      </c>
      <c r="C5" s="7" t="s">
        <v>106</v>
      </c>
    </row>
    <row r="6" customFormat="false" ht="17.15" hidden="false" customHeight="false" outlineLevel="0" collapsed="false">
      <c r="A6" s="3" t="n">
        <v>3</v>
      </c>
      <c r="B6" s="4" t="s">
        <v>107</v>
      </c>
      <c r="C6" s="4" t="s">
        <v>108</v>
      </c>
    </row>
    <row r="7" customFormat="false" ht="17.15" hidden="false" customHeight="false" outlineLevel="0" collapsed="false">
      <c r="A7" s="6" t="n">
        <v>4</v>
      </c>
      <c r="B7" s="7" t="s">
        <v>109</v>
      </c>
      <c r="C7" s="7" t="s">
        <v>110</v>
      </c>
    </row>
    <row r="8" customFormat="false" ht="32.8" hidden="false" customHeight="false" outlineLevel="0" collapsed="false">
      <c r="A8" s="3" t="n">
        <v>5</v>
      </c>
      <c r="B8" s="4" t="s">
        <v>111</v>
      </c>
      <c r="C8" s="4" t="s">
        <v>112</v>
      </c>
    </row>
    <row r="10" customFormat="false" ht="15" hidden="false" customHeight="false" outlineLevel="0" collapsed="false">
      <c r="A10" s="11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0"/>
  </cols>
  <sheetData>
    <row r="1" customFormat="false" ht="21.75" hidden="false" customHeight="true" outlineLevel="0" collapsed="false">
      <c r="A1" s="1" t="s">
        <v>114</v>
      </c>
    </row>
    <row r="3" customFormat="false" ht="17.15" hidden="false" customHeight="false" outlineLevel="0" collapsed="false">
      <c r="A3" s="2" t="s">
        <v>115</v>
      </c>
      <c r="B3" s="2" t="s">
        <v>116</v>
      </c>
    </row>
    <row r="4" customFormat="false" ht="17.15" hidden="false" customHeight="false" outlineLevel="0" collapsed="false">
      <c r="A4" s="3" t="s">
        <v>117</v>
      </c>
      <c r="B4" s="4" t="s">
        <v>118</v>
      </c>
    </row>
    <row r="5" customFormat="false" ht="17.15" hidden="false" customHeight="false" outlineLevel="0" collapsed="false">
      <c r="A5" s="6" t="s">
        <v>119</v>
      </c>
      <c r="B5" s="7" t="s">
        <v>120</v>
      </c>
    </row>
    <row r="6" customFormat="false" ht="17.15" hidden="false" customHeight="false" outlineLevel="0" collapsed="false">
      <c r="A6" s="3" t="s">
        <v>121</v>
      </c>
      <c r="B6" s="4" t="s">
        <v>122</v>
      </c>
    </row>
    <row r="7" customFormat="false" ht="17.15" hidden="false" customHeight="false" outlineLevel="0" collapsed="false">
      <c r="A7" s="6" t="s">
        <v>123</v>
      </c>
      <c r="B7" s="7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21.75" hidden="false" customHeight="true" outlineLevel="0" collapsed="false">
      <c r="A1" s="1" t="s">
        <v>125</v>
      </c>
    </row>
    <row r="3" customFormat="false" ht="17.15" hidden="false" customHeight="false" outlineLevel="0" collapsed="false">
      <c r="A3" s="2" t="s">
        <v>78</v>
      </c>
      <c r="B3" s="2" t="s">
        <v>102</v>
      </c>
    </row>
    <row r="4" customFormat="false" ht="32.8" hidden="false" customHeight="false" outlineLevel="0" collapsed="false">
      <c r="A4" s="3" t="s">
        <v>126</v>
      </c>
      <c r="B4" s="4" t="s">
        <v>127</v>
      </c>
    </row>
    <row r="5" customFormat="false" ht="17.15" hidden="false" customHeight="false" outlineLevel="0" collapsed="false">
      <c r="A5" s="6" t="s">
        <v>128</v>
      </c>
      <c r="B5" s="7" t="s">
        <v>129</v>
      </c>
    </row>
    <row r="6" customFormat="false" ht="17.15" hidden="false" customHeight="false" outlineLevel="0" collapsed="false">
      <c r="A6" s="3" t="s">
        <v>130</v>
      </c>
      <c r="B6" s="4" t="s">
        <v>131</v>
      </c>
    </row>
    <row r="7" customFormat="false" ht="17.15" hidden="false" customHeight="false" outlineLevel="0" collapsed="false">
      <c r="A7" s="6" t="s">
        <v>132</v>
      </c>
      <c r="B7" s="7" t="s">
        <v>133</v>
      </c>
    </row>
    <row r="8" customFormat="false" ht="32.8" hidden="false" customHeight="false" outlineLevel="0" collapsed="false">
      <c r="A8" s="3" t="s">
        <v>134</v>
      </c>
      <c r="B8" s="4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26"/>
    <col collapsed="false" customWidth="true" hidden="false" outlineLevel="0" max="4" min="4" style="0" width="14"/>
  </cols>
  <sheetData>
    <row r="1" customFormat="false" ht="21.75" hidden="false" customHeight="true" outlineLevel="0" collapsed="false">
      <c r="A1" s="1" t="s">
        <v>136</v>
      </c>
    </row>
    <row r="2" customFormat="false" ht="15" hidden="false" customHeight="false" outlineLevel="0" collapsed="false">
      <c r="A2" s="11" t="s">
        <v>137</v>
      </c>
    </row>
    <row r="4" customFormat="false" ht="17.15" hidden="false" customHeight="false" outlineLevel="0" collapsed="false">
      <c r="A4" s="2" t="s">
        <v>138</v>
      </c>
      <c r="B4" s="2" t="s">
        <v>102</v>
      </c>
      <c r="C4" s="2" t="s">
        <v>139</v>
      </c>
      <c r="D4" s="2" t="s">
        <v>140</v>
      </c>
    </row>
    <row r="5" customFormat="false" ht="17.15" hidden="false" customHeight="false" outlineLevel="0" collapsed="false">
      <c r="A5" s="3" t="n">
        <v>1</v>
      </c>
      <c r="B5" s="4" t="s">
        <v>141</v>
      </c>
      <c r="C5" s="4" t="s">
        <v>142</v>
      </c>
      <c r="D5" s="17" t="s">
        <v>143</v>
      </c>
    </row>
    <row r="6" customFormat="false" ht="17.15" hidden="false" customHeight="false" outlineLevel="0" collapsed="false">
      <c r="A6" s="6" t="n">
        <v>2</v>
      </c>
      <c r="B6" s="7" t="s">
        <v>144</v>
      </c>
      <c r="C6" s="7" t="s">
        <v>142</v>
      </c>
      <c r="D6" s="18" t="s">
        <v>143</v>
      </c>
    </row>
    <row r="7" customFormat="false" ht="17.15" hidden="false" customHeight="false" outlineLevel="0" collapsed="false">
      <c r="A7" s="3" t="n">
        <v>3</v>
      </c>
      <c r="B7" s="4" t="s">
        <v>145</v>
      </c>
      <c r="C7" s="4" t="s">
        <v>146</v>
      </c>
      <c r="D7" s="17" t="s">
        <v>143</v>
      </c>
    </row>
    <row r="8" customFormat="false" ht="17.15" hidden="false" customHeight="false" outlineLevel="0" collapsed="false">
      <c r="A8" s="6" t="n">
        <v>4</v>
      </c>
      <c r="B8" s="7" t="s">
        <v>147</v>
      </c>
      <c r="C8" s="7" t="s">
        <v>148</v>
      </c>
      <c r="D8" s="18" t="s">
        <v>143</v>
      </c>
    </row>
    <row r="10" customFormat="false" ht="15" hidden="false" customHeight="false" outlineLevel="0" collapsed="false">
      <c r="A10" s="11" t="s">
        <v>149</v>
      </c>
    </row>
  </sheetData>
  <dataValidations count="1">
    <dataValidation allowBlank="true" errorStyle="stop" operator="between" showDropDown="false" showErrorMessage="false" showInputMessage="false" sqref="D5:D8" type="list">
      <formula1>"未开始,进行中,已完成"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2026-10-10T10:00:20Z</dcterms:created>
  <dc:creator>openpyxl</dc:creator>
  <dc:description/>
  <dc:language>en-US</dc:language>
  <cp:lastModifiedBy/>
  <dcterms:modified xsi:type="dcterms:W3CDTF">2026-10-10T10:00:20Z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